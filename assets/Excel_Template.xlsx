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ell\Documents\Custom Office Templates\"/>
    </mc:Choice>
  </mc:AlternateContent>
  <xr:revisionPtr revIDLastSave="0" documentId="8_{F39D4C1D-980F-4193-8D83-52BFF7E2D5D7}" xr6:coauthVersionLast="47" xr6:coauthVersionMax="47" xr10:uidLastSave="{00000000-0000-0000-0000-000000000000}"/>
  <bookViews>
    <workbookView xWindow="-110" yWindow="-110" windowWidth="19420" windowHeight="10300" activeTab="4" xr2:uid="{17978594-D8CB-43E9-9855-46A1F5807C96}"/>
  </bookViews>
  <sheets>
    <sheet name="Para_ID" sheetId="1" r:id="rId1"/>
    <sheet name="Dynamic Values" sheetId="2" r:id="rId2"/>
    <sheet name="Tables" sheetId="3" r:id="rId3"/>
    <sheet name="Version Maintenance" sheetId="4" r:id="rId4"/>
    <sheet name="Landing_Page" sheetId="5" r:id="rId5"/>
  </sheets>
  <calcPr calcId="191029" concurrentManualCount="1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 i="4" l="1"/>
  <c r="B3" i="4"/>
  <c r="B2" i="4"/>
</calcChain>
</file>

<file path=xl/sharedStrings.xml><?xml version="1.0" encoding="utf-8"?>
<sst xmlns="http://schemas.openxmlformats.org/spreadsheetml/2006/main" count="103" uniqueCount="78">
  <si>
    <t>Para id</t>
  </si>
  <si>
    <t>Level 1</t>
  </si>
  <si>
    <t>Level 2</t>
  </si>
  <si>
    <t>Level 3</t>
  </si>
  <si>
    <t>Level 4</t>
  </si>
  <si>
    <t>Level 5</t>
  </si>
  <si>
    <t>Level 6</t>
  </si>
  <si>
    <t>V1</t>
  </si>
  <si>
    <t>V2</t>
  </si>
  <si>
    <t>V3</t>
  </si>
  <si>
    <t>Reviewer</t>
  </si>
  <si>
    <t>Approver</t>
  </si>
  <si>
    <t>Para_01</t>
  </si>
  <si>
    <t>Group_Overview</t>
  </si>
  <si>
    <t>Vedanta Limited (“the Company”) (CIN: L13209MH1965PLC291394) and its consolidated subsidiaries (collectively, the “Group”) is a diversified natural resource Group engaged in exploring, extracting and processing minerals and oil and gas. The Group engages in the exploration, production and sale of zinc, lead, silver, copper, aluminium, iron ore and oil and gas and has a presence across India, South Africa, Namibia, Ireland, Australia, Liberia and UAE. The Group is also in the business of commercial power generation, steel manufacturing and port operations in India and manufacturing of glass substrate in South Korea and Taiwan. The Company was incorporated on 08 September 1975 under the laws of the Republic of India. The registered office of the Company is situated at 1st Floor, ‘C’ wing, Unit 103, Corporate Avenue, Atul Projects, Chakala, Andheri (East), Mumbai-400093, Maharashtra. The Company’s shares are listed on National Stock Exchange ('NSE') and Bombay Stock Exchange ('BSE') in India. In June 2007, the Company completed its initial public offering of American Depositary Shares, or ADS, each representing four equity shares, and listed its ADSs on the New York Stock Exchange ('NYSE'). The ADSs of the Company have been delisted from NYSE effective close of trading on NYSE on 08 November 2021. The Company has been deregistered from SEC under the Exchange Act effective 01 March 2023. The Company is majority owned by Twin Star Holdings Limited (“Twin Star”), Vedanta Holdings Mauritius II Limited ("VHM2L"), Vedanta Holdings Mauritius Limited ("VHML"), Welter Trading Limited (“Welter”) and Vedanta Netherlands Investments BV (“VNIBV”) which are in turn wholly-owned subsidiaries of Vedanta Resources Limited ("VRL"), a Company incorporated in the United Kingdom. VRL, through its subsidiaries, held 56.38% (31 March 2024: 61.95%) of the Company's equity as at 31 March 2025. Details of Group’s various businesses are as follows. The Group’s percentage holdings in each of the below businesses are disclosed in note 43. • Zinc India business is owned and operated by Hindustan Zinc Limited (“HZL”). • Zinc international business comprises Skorpion mine and refinery in Namibia operated through THL Zinc Namibia Holdings (Proprietary) Limited Integrated Report and Annual Accounts 2024-25 (“Skorpion”), Lisheen mine in Ireland operated through Vedanta Lisheen Holdings Limited (“Lisheen”) (Lisheen mine ceased operations in December 2015) and Black Mountain Mining (Proprietary) Limited (“BMM”), whose assets include the operational Black Mountain mine and the Gamsberg mine project located in South Africa. • The Group’s oil and gas business is owned and operated by the Company and its subsidiary, Cairn Energy Hydrocarbons Limited ("CEHL") and consists of exploration and development and production of oil and gas. • The Group’s iron ore business is owned by the Company, and by its wholly owned subsidiary, i.e., Sesa Resources Limited and consists of exploration, mining and processing of iron ore, pig iron and metallurgical coke and generation of power for captive use. Pursuant to the Hon'ble Supreme Court of India order, mining operations in the state of Goa were suspended. During the year ended 31 March 2024, the Company has received environment clearance from the Ministry of Environment, Forest and Climate Change ("MoEFCC") and Consent to Operate ("CTO") from Goa State Pollution Board followed by commencement of Bicholim mining operations in March 2024 and the same is operational during the year. During the year ended 31 March 2025, the Company has received environment clearance from the MoEFCC for Cudnem mines Block VII and the other approvals are under process. In addition, the Group’s iron ore business also includes a wholly owned subsidiary, Western Cluster Limited (“WCL”) in Liberia which has iron ore assets. WCL’s assets include development rights to Western Cluster and a network of iron ore deposits in West Africa. During the previous year, WCL had signed a Memorandum of Understanding with the Government of Liberia to re-start its mining operations in Liberia post which commercial production and shipments of saleable ore were commenced. • The Group’s copper business is owned and operated by the Company, Fujairah Gold FZC and Thalanga Copper Mines ("TCM") is principally one of custom smelting and includes captive power plants at Tuticorin in Southern India. A more forming part of the consolidated financial statements as at and for the year ended 31 March 2025 detailed update on facilities at Tuticorin is given in note 3(c) (A)(iii). Further, the Company’s copper business includes refinery and rod plant in Silvassa consisting of blister/ secondary material processing plant, a 216,000 TPA copper tank house plant and a copper rod mill with an installed capacity of 258,000 TPA. The plant continues to operate as usual, catering to the domestic market. In addition, the Group owns and operates a precious metal refinery and copper rod plant in Fujairah, UAE through its subsidiary Fujairah Gold FZC. • The Group’s Aluminium business is owned and operated by the Company and by Bharat Aluminium Company Limited (“BALCO”). The aluminium operations include a refinery and captive power plant at Lanjigarh, smelter and captive power plants at Jharsuguda and coal mines at Jamkhani, all situated in the State of Odisha in Eastern India. BALCO’s partially integrated aluminium operations comprise two bauxite mines, two coal mines, power plants, smelting and fabrication facilities in the State of Chhattisgarh in central India. • The Group’s power business is owned and operated by the Company, and its wholly owned subsidiaries, Talwandi Sabo Power Limited (“TSPL”) and Meenakshi Energy Limited ("Meenakshi"), which are engaged in the power generation business in India. The Company's power operations include a thermal coal- based commercial power facility of 600 MW at Jharsuguda in the State of Odisha in Eastern India and a 1200 MW (two units of 600 MW each) thermal coal-based power plant, in the State of Chhattisgarh in Eastern India. Talwandi Sabo Power Limited (“TSPL”) power operations include 1,980 MW (three units of 660 MW each) thermal coal- based commercial power facilities. Meenakshi power operations include 1,000 MW coal-based power plant (two units of 150 MW each and two units of 350 MW each), located at Nellore, Andhra Pradesh. Power business also includes the wind power plants commissioned by HZL and a power plant at MALCO Energy Limited (“MEL”) (under care and maintenance) situated at Mettur Dam in the State of Tamil Nadu in southern India. • The Group’s other activities include ESL Steel Limited ("ESL") (formerly known as Electrosteel Steels Limited). ESL is engaged in the manufacturing and supply of billets, TMT bars, wire rods and ductile iron pipes in India and also deals in mining of iron ore and its supply. • The Group’s other business also include Vizag General Cargo Berth Private Limited (“VGCB”). Vizag port project includes mechanization of coal handling facilities and upgradation of general cargo berth for handling coal at the outer harbour of Visakhapatnam Port on the east coast of India. VGCB commenced operations in the fourth quarter of fiscal 2013. The Group’s other business also includes AvanStrate Inc. (“ASI”), Vedanta Semiconductors Private Limited ("VSPL”), Vedanta Displays Limited (“VDL”), Ferro Alloys Corporation Limited ("FACOR") and Desai Cement Company Private Limited ("DCCPL"). ASI is involved in the manufacturing of glass substrate in South Korea and Taiwan. The Company has acquired Vedanta Semiconductors Private Limited and Vedanta Displays Limited during FY 24 for manufacturing semiconductor and display glass panels, respectively. FACOR is involved in manufacturing of Ferro Alloys, mining of chrome ore and generation of power. It owns a ferro chrome plant with a capacity of approximately 1,40,000 TPA, a 100MW power plant and mines in Sukinda valley with current capacity of 2,90,000 TPA. DCCPL is involved in business of producing slag cements and owns three ball mills with capacity of 126,000 TPA. 2 Basis of preparation and basis of measurement of financial statements These consolidated financial statements have been prepared in accordance with Indian Accounting Standards (Ind AS) notified under the Companies (Indian Accounting Standards) Rules, 2015, presentation requirement of Division II of schedule III and other relevant provisions of the Companies Act, 2013 (the "Act") (as amended from time to time), guidelines issued by the Securities and Exchange Board of India (“SEBI”) and Guidance Note on Accounting for Oil and Gas Producing Activities issued by the Institute of Chartered Accountants of India. These consolidated financial statements have been prepared in accordance with the accounting policies, set out below and were consistently applied to all periods presented unless otherwise stated. 410</t>
  </si>
  <si>
    <t>Y</t>
  </si>
  <si>
    <t>Dynamic_ID</t>
  </si>
  <si>
    <t>Data</t>
  </si>
  <si>
    <t>UOM</t>
  </si>
  <si>
    <t>Type</t>
  </si>
  <si>
    <t>Note</t>
  </si>
  <si>
    <t>Para_id</t>
  </si>
  <si>
    <t>Source</t>
  </si>
  <si>
    <t>DV_1</t>
  </si>
  <si>
    <t>INR</t>
  </si>
  <si>
    <t>Value</t>
  </si>
  <si>
    <t>Round off</t>
  </si>
  <si>
    <t>Para_02</t>
  </si>
  <si>
    <t>SAP</t>
  </si>
  <si>
    <t>DV_2</t>
  </si>
  <si>
    <t>Percentage</t>
  </si>
  <si>
    <t>Stake % in subsidiaries</t>
  </si>
  <si>
    <t>DV_3</t>
  </si>
  <si>
    <t>Debt Value</t>
  </si>
  <si>
    <t>Table_ID</t>
  </si>
  <si>
    <t>Tables</t>
  </si>
  <si>
    <t>Table_1</t>
  </si>
  <si>
    <t>Para_19</t>
  </si>
  <si>
    <t>Asset</t>
  </si>
  <si>
    <t>Useful Life (Years)</t>
  </si>
  <si>
    <t>Buildings (Residential, factory, etc.)</t>
  </si>
  <si>
    <t>3-60</t>
  </si>
  <si>
    <t>Plant and equipment</t>
  </si>
  <si>
    <t>6-40</t>
  </si>
  <si>
    <t>Railway siding</t>
  </si>
  <si>
    <t>15</t>
  </si>
  <si>
    <t>Office equipment</t>
  </si>
  <si>
    <t>3-6</t>
  </si>
  <si>
    <t>Furniture and fixture</t>
  </si>
  <si>
    <t>8-10</t>
  </si>
  <si>
    <t>Vehicles</t>
  </si>
  <si>
    <t>Table_2</t>
  </si>
  <si>
    <t>Para_67</t>
  </si>
  <si>
    <t>Assumptions</t>
  </si>
  <si>
    <t>Basis</t>
  </si>
  <si>
    <t>Future production</t>
  </si>
  <si>
    <t>Proved and probable reserves, production facilities, resource estimates and expansion projects</t>
  </si>
  <si>
    <t>Commodity prices</t>
  </si>
  <si>
    <t>Management's best estimate benchmarked with external sources of information, to ensure they are within the range of available analyst forecast</t>
  </si>
  <si>
    <t>Discount to price</t>
  </si>
  <si>
    <t>Management's best estimate based on historical prevailing discount and updated sales contracts</t>
  </si>
  <si>
    <t>Period</t>
  </si>
  <si>
    <t>For Rajasthan block, cash flows are considered based on economic life of the fields</t>
  </si>
  <si>
    <t>Discount rates</t>
  </si>
  <si>
    <t>Cost of capital risk-adjusted for the risk specific to the asset/ CGU</t>
  </si>
  <si>
    <t>Versions</t>
  </si>
  <si>
    <t>Explanation (YYYY-Company Code- Version)</t>
  </si>
  <si>
    <t>Year</t>
  </si>
  <si>
    <t>Company Code</t>
  </si>
  <si>
    <t>Variant</t>
  </si>
  <si>
    <t>LOGO</t>
  </si>
  <si>
    <t>Scale</t>
  </si>
  <si>
    <t>CC1</t>
  </si>
  <si>
    <t>https://github.com/PrachIiocfo/Annual_Report_LOGOS/blob/main/Blue%20star%20Logo.jpg?raw=true</t>
  </si>
  <si>
    <t>Crore</t>
  </si>
  <si>
    <t>CC2</t>
  </si>
  <si>
    <t>CC3</t>
  </si>
  <si>
    <t xml:space="preserve">Version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</si>
</sst>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0"/>
      <name val="Aptos Narrow"/>
      <family val="2"/>
      <scheme val="minor"/>
    </font>
    <font>
      <b/>
      <sz val="11"/>
      <color theme="0"/>
      <name val="Calibri"/>
      <family val="2"/>
    </font>
    <font>
      <sz val="11"/>
      <color rgb="FF000000"/>
      <name val="Calibri"/>
      <family val="2"/>
    </font>
    <font>
      <b/>
      <sz val="12"/>
      <color rgb="FFFFFFFF"/>
      <name val="Arial"/>
      <family val="2"/>
    </font>
    <font>
      <sz val="11"/>
      <name val="Arial"/>
      <family val="2"/>
    </font>
    <font>
      <u/>
      <sz val="11"/>
      <color theme="10"/>
      <name val="Aptos Narrow"/>
      <family val="2"/>
      <scheme val="minor"/>
    </font>
  </fonts>
  <fills count="7">
    <fill>
      <patternFill patternType="none"/>
    </fill>
    <fill>
      <patternFill patternType="gray125"/>
    </fill>
    <fill>
      <patternFill patternType="solid">
        <fgColor theme="3" tint="9.9978637043366805E-2"/>
        <bgColor indexed="64"/>
      </patternFill>
    </fill>
    <fill>
      <patternFill patternType="solid">
        <fgColor theme="4" tint="-0.499984740745262"/>
        <bgColor indexed="64"/>
      </patternFill>
    </fill>
    <fill>
      <patternFill patternType="solid">
        <fgColor rgb="FF305496"/>
      </patternFill>
    </fill>
    <fill>
      <patternFill patternType="solid">
        <fgColor rgb="FFD9E1F2"/>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B4B4B4"/>
      </left>
      <right style="thin">
        <color rgb="FFB4B4B4"/>
      </right>
      <top style="thin">
        <color rgb="FFB4B4B4"/>
      </top>
      <bottom style="thin">
        <color rgb="FFB4B4B4"/>
      </bottom>
      <diagonal/>
    </border>
  </borders>
  <cellStyleXfs count="2">
    <xf numFmtId="0" fontId="0" fillId="0" borderId="0"/>
    <xf numFmtId="0" fontId="6" fillId="0" borderId="0" applyNumberFormat="0" applyFill="0" applyBorder="0" applyAlignment="0" applyProtection="0"/>
  </cellStyleXfs>
  <cellXfs count="27">
    <xf numFmtId="0" fontId="0" fillId="0" borderId="0" xfId="0"/>
    <xf numFmtId="0" fontId="1" fillId="2" borderId="1" xfId="0" applyFont="1" applyFill="1" applyBorder="1" applyAlignment="1">
      <alignment horizontal="center" vertical="top"/>
    </xf>
    <xf numFmtId="0" fontId="1" fillId="2" borderId="2" xfId="0" applyFont="1" applyFill="1" applyBorder="1" applyAlignment="1">
      <alignment horizontal="center" vertical="top" wrapText="1"/>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0" borderId="1" xfId="0" applyBorder="1"/>
    <xf numFmtId="0" fontId="2" fillId="3" borderId="1" xfId="0" applyFont="1" applyFill="1" applyBorder="1" applyAlignment="1">
      <alignment horizontal="center"/>
    </xf>
    <xf numFmtId="0" fontId="2" fillId="3" borderId="1" xfId="0" applyFont="1" applyFill="1" applyBorder="1" applyAlignment="1">
      <alignment horizontal="center" wrapText="1"/>
    </xf>
    <xf numFmtId="0" fontId="2" fillId="3" borderId="3" xfId="0" applyFont="1" applyFill="1" applyBorder="1" applyAlignment="1">
      <alignment horizontal="center"/>
    </xf>
    <xf numFmtId="0" fontId="3" fillId="0" borderId="1" xfId="0" applyFont="1" applyBorder="1" applyAlignment="1">
      <alignment vertical="top" wrapText="1"/>
    </xf>
    <xf numFmtId="0" fontId="3" fillId="0" borderId="1" xfId="0" applyFont="1" applyBorder="1" applyAlignment="1">
      <alignment vertical="top"/>
    </xf>
    <xf numFmtId="10" fontId="3" fillId="0" borderId="1" xfId="0" applyNumberFormat="1" applyFont="1" applyBorder="1" applyAlignment="1">
      <alignment vertical="top"/>
    </xf>
    <xf numFmtId="0" fontId="1" fillId="2" borderId="0" xfId="0" applyFont="1" applyFill="1" applyAlignment="1">
      <alignment horizontal="center"/>
    </xf>
    <xf numFmtId="0" fontId="1" fillId="0" borderId="0" xfId="0" applyFont="1" applyAlignment="1">
      <alignment horizontal="center"/>
    </xf>
    <xf numFmtId="0" fontId="4" fillId="4" borderId="4" xfId="0" applyFont="1" applyFill="1" applyBorder="1" applyAlignment="1">
      <alignment horizontal="center" vertical="center"/>
    </xf>
    <xf numFmtId="0" fontId="5" fillId="5" borderId="4" xfId="0" applyFont="1" applyFill="1" applyBorder="1" applyAlignment="1">
      <alignment horizontal="left" vertical="center" indent="1"/>
    </xf>
    <xf numFmtId="0" fontId="5" fillId="5" borderId="4" xfId="0" applyFont="1" applyFill="1" applyBorder="1" applyAlignment="1">
      <alignment horizontal="center" vertical="center"/>
    </xf>
    <xf numFmtId="0" fontId="5" fillId="0" borderId="4" xfId="0" applyFont="1" applyBorder="1" applyAlignment="1">
      <alignment horizontal="left" vertical="center" indent="1"/>
    </xf>
    <xf numFmtId="0" fontId="5" fillId="0" borderId="4" xfId="0" applyFont="1" applyBorder="1" applyAlignment="1">
      <alignment horizontal="center" vertical="center"/>
    </xf>
    <xf numFmtId="2" fontId="0" fillId="0" borderId="0" xfId="0" applyNumberFormat="1"/>
    <xf numFmtId="0" fontId="5" fillId="5" borderId="4" xfId="0" applyFont="1" applyFill="1" applyBorder="1" applyAlignment="1">
      <alignment horizontal="left" vertical="center" wrapText="1" indent="1"/>
    </xf>
    <xf numFmtId="0" fontId="5" fillId="0" borderId="4" xfId="0" applyFont="1" applyBorder="1" applyAlignment="1">
      <alignment horizontal="left" vertical="center" wrapText="1" indent="1"/>
    </xf>
    <xf numFmtId="0" fontId="1" fillId="2" borderId="1" xfId="0" applyFont="1" applyFill="1" applyBorder="1" applyAlignment="1">
      <alignment horizontal="center" vertical="center"/>
    </xf>
    <xf numFmtId="0" fontId="6" fillId="0" borderId="1" xfId="1" applyBorder="1"/>
    <xf numFmtId="0" fontId="0" fillId="6"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hyperlink" Target="https://github.com/PrachIiocfo/Annual_Report_LOGOS/blob/main/Blue%20star%20Logo.jpg?raw=true" TargetMode="External"/><Relationship Id="rId1" Type="http://schemas.openxmlformats.org/officeDocument/2006/relationships/hyperlink" Target="https://github.com/PrachIiocfo/Annual_Report_LOGOS/blob/main/Blue%20star%20Logo.jpg?raw=true" TargetMode="External"/></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DC2D7-8633-4743-AEBD-F4D9E5D0BE87}">
  <dimension ref="A1:L2"/>
  <sheetViews>
    <sheetView topLeftCell="E1" workbookViewId="0">
      <selection activeCell="I2" sqref="I2"/>
    </sheetView>
  </sheetViews>
  <sheetFormatPr defaultRowHeight="14.5" x14ac:dyDescent="0.35"/>
  <cols>
    <col min="1" max="1" width="7.36328125" bestFit="1" customWidth="1"/>
    <col min="2" max="6" width="14" bestFit="1" customWidth="1"/>
    <col min="7" max="7" width="111" customWidth="1"/>
  </cols>
  <sheetData>
    <row r="1" spans="1:12" x14ac:dyDescent="0.35">
      <c r="A1" s="1" t="s">
        <v>0</v>
      </c>
      <c r="B1" s="1" t="s">
        <v>1</v>
      </c>
      <c r="C1" s="1" t="s">
        <v>2</v>
      </c>
      <c r="D1" s="1" t="s">
        <v>3</v>
      </c>
      <c r="E1" s="1" t="s">
        <v>4</v>
      </c>
      <c r="F1" s="1" t="s">
        <v>5</v>
      </c>
      <c r="G1" s="2" t="s">
        <v>6</v>
      </c>
      <c r="H1" s="3" t="s">
        <v>7</v>
      </c>
      <c r="I1" s="3" t="s">
        <v>8</v>
      </c>
      <c r="J1" s="3" t="s">
        <v>9</v>
      </c>
      <c r="K1" s="4" t="s">
        <v>10</v>
      </c>
      <c r="L1" s="4" t="s">
        <v>11</v>
      </c>
    </row>
    <row r="2" spans="1:12" ht="409.5" x14ac:dyDescent="0.35">
      <c r="A2" s="5" t="s">
        <v>12</v>
      </c>
      <c r="B2" s="5" t="s">
        <v>13</v>
      </c>
      <c r="C2" s="5" t="s">
        <v>13</v>
      </c>
      <c r="D2" s="5" t="s">
        <v>13</v>
      </c>
      <c r="E2" s="5" t="s">
        <v>13</v>
      </c>
      <c r="F2" s="5" t="s">
        <v>13</v>
      </c>
      <c r="G2" s="6" t="s">
        <v>14</v>
      </c>
      <c r="H2" s="5" t="s">
        <v>15</v>
      </c>
      <c r="I2" s="5" t="s">
        <v>15</v>
      </c>
      <c r="J2" s="5" t="s">
        <v>15</v>
      </c>
      <c r="K2" s="7"/>
      <c r="L2" s="7"/>
    </row>
  </sheetData>
  <pageMargins left="0.7" right="0.7" top="0.75" bottom="0.75" header="0.3" footer="0.3"/>
  <customProperties>
    <customPr name="_pios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38206-FFD4-446E-B75C-0F9E994092D7}">
  <dimension ref="A1:G4"/>
  <sheetViews>
    <sheetView workbookViewId="0">
      <selection activeCell="G6" sqref="G6"/>
    </sheetView>
  </sheetViews>
  <sheetFormatPr defaultRowHeight="14.5" x14ac:dyDescent="0.35"/>
  <cols>
    <col min="1" max="1" width="10.81640625" bestFit="1" customWidth="1"/>
    <col min="2" max="2" width="10.54296875" customWidth="1"/>
    <col min="6" max="6" width="16.6328125" customWidth="1"/>
  </cols>
  <sheetData>
    <row r="1" spans="1:7" x14ac:dyDescent="0.35">
      <c r="A1" s="8" t="s">
        <v>16</v>
      </c>
      <c r="B1" s="8" t="s">
        <v>17</v>
      </c>
      <c r="C1" s="8" t="s">
        <v>18</v>
      </c>
      <c r="D1" s="8" t="s">
        <v>19</v>
      </c>
      <c r="E1" s="9" t="s">
        <v>20</v>
      </c>
      <c r="F1" s="8" t="s">
        <v>21</v>
      </c>
      <c r="G1" s="10" t="s">
        <v>22</v>
      </c>
    </row>
    <row r="2" spans="1:7" ht="29" x14ac:dyDescent="0.35">
      <c r="A2" s="11" t="s">
        <v>23</v>
      </c>
      <c r="B2" s="12">
        <v>0.5</v>
      </c>
      <c r="C2" s="12" t="s">
        <v>24</v>
      </c>
      <c r="D2" s="12" t="s">
        <v>25</v>
      </c>
      <c r="E2" s="11" t="s">
        <v>26</v>
      </c>
      <c r="F2" s="12" t="s">
        <v>27</v>
      </c>
      <c r="G2" s="5" t="s">
        <v>28</v>
      </c>
    </row>
    <row r="3" spans="1:7" ht="58" x14ac:dyDescent="0.35">
      <c r="A3" s="11" t="s">
        <v>29</v>
      </c>
      <c r="B3" s="13">
        <v>0.501</v>
      </c>
      <c r="C3" s="13"/>
      <c r="D3" s="12" t="s">
        <v>30</v>
      </c>
      <c r="E3" s="11" t="s">
        <v>31</v>
      </c>
      <c r="F3" s="12" t="s">
        <v>27</v>
      </c>
      <c r="G3" s="5" t="s">
        <v>28</v>
      </c>
    </row>
    <row r="4" spans="1:7" ht="29" x14ac:dyDescent="0.35">
      <c r="A4" s="11" t="s">
        <v>32</v>
      </c>
      <c r="B4" s="12">
        <v>46690000000</v>
      </c>
      <c r="C4" s="12" t="s">
        <v>24</v>
      </c>
      <c r="D4" s="12" t="s">
        <v>25</v>
      </c>
      <c r="E4" s="11" t="s">
        <v>33</v>
      </c>
      <c r="F4" s="12" t="s">
        <v>27</v>
      </c>
      <c r="G4" s="5" t="s">
        <v>28</v>
      </c>
    </row>
  </sheetData>
  <pageMargins left="0.7" right="0.7" top="0.75" bottom="0.75" header="0.3" footer="0.3"/>
  <customProperties>
    <customPr name="_pios_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D0E55-0A43-4346-AD7E-999A20532D3D}">
  <dimension ref="A1:D16"/>
  <sheetViews>
    <sheetView workbookViewId="0">
      <selection activeCell="G8" sqref="G8"/>
    </sheetView>
  </sheetViews>
  <sheetFormatPr defaultRowHeight="14.5" x14ac:dyDescent="0.35"/>
  <cols>
    <col min="3" max="3" width="33.08984375" bestFit="1" customWidth="1"/>
    <col min="4" max="4" width="20.1796875" bestFit="1" customWidth="1"/>
  </cols>
  <sheetData>
    <row r="1" spans="1:4" x14ac:dyDescent="0.35">
      <c r="A1" s="14" t="s">
        <v>34</v>
      </c>
      <c r="B1" s="14" t="s">
        <v>21</v>
      </c>
      <c r="C1" s="14" t="s">
        <v>35</v>
      </c>
    </row>
    <row r="2" spans="1:4" x14ac:dyDescent="0.35">
      <c r="A2" s="15"/>
      <c r="B2" s="15"/>
      <c r="C2" s="15"/>
    </row>
    <row r="3" spans="1:4" ht="15.5" x14ac:dyDescent="0.35">
      <c r="A3" t="s">
        <v>36</v>
      </c>
      <c r="B3" t="s">
        <v>37</v>
      </c>
      <c r="C3" s="16" t="s">
        <v>38</v>
      </c>
      <c r="D3" s="16" t="s">
        <v>39</v>
      </c>
    </row>
    <row r="4" spans="1:4" x14ac:dyDescent="0.35">
      <c r="C4" s="17" t="s">
        <v>40</v>
      </c>
      <c r="D4" s="18" t="s">
        <v>41</v>
      </c>
    </row>
    <row r="5" spans="1:4" x14ac:dyDescent="0.35">
      <c r="C5" s="19" t="s">
        <v>42</v>
      </c>
      <c r="D5" s="20" t="s">
        <v>43</v>
      </c>
    </row>
    <row r="6" spans="1:4" x14ac:dyDescent="0.35">
      <c r="C6" s="17" t="s">
        <v>44</v>
      </c>
      <c r="D6" s="18" t="s">
        <v>45</v>
      </c>
    </row>
    <row r="7" spans="1:4" x14ac:dyDescent="0.35">
      <c r="C7" s="19" t="s">
        <v>46</v>
      </c>
      <c r="D7" s="20" t="s">
        <v>47</v>
      </c>
    </row>
    <row r="8" spans="1:4" x14ac:dyDescent="0.35">
      <c r="C8" s="17" t="s">
        <v>48</v>
      </c>
      <c r="D8" s="18" t="s">
        <v>49</v>
      </c>
    </row>
    <row r="9" spans="1:4" x14ac:dyDescent="0.35">
      <c r="C9" s="19" t="s">
        <v>50</v>
      </c>
      <c r="D9" s="20" t="s">
        <v>49</v>
      </c>
    </row>
    <row r="10" spans="1:4" x14ac:dyDescent="0.35">
      <c r="D10" s="21"/>
    </row>
    <row r="11" spans="1:4" ht="15.5" x14ac:dyDescent="0.35">
      <c r="A11" t="s">
        <v>51</v>
      </c>
      <c r="B11" t="s">
        <v>52</v>
      </c>
      <c r="C11" s="16" t="s">
        <v>53</v>
      </c>
      <c r="D11" s="16" t="s">
        <v>54</v>
      </c>
    </row>
    <row r="12" spans="1:4" ht="118.5" customHeight="1" x14ac:dyDescent="0.35">
      <c r="C12" s="22" t="s">
        <v>55</v>
      </c>
      <c r="D12" s="22" t="s">
        <v>56</v>
      </c>
    </row>
    <row r="13" spans="1:4" ht="155" customHeight="1" x14ac:dyDescent="0.35">
      <c r="C13" s="23" t="s">
        <v>57</v>
      </c>
      <c r="D13" s="23" t="s">
        <v>58</v>
      </c>
    </row>
    <row r="14" spans="1:4" ht="140.5" customHeight="1" x14ac:dyDescent="0.35">
      <c r="C14" s="22" t="s">
        <v>59</v>
      </c>
      <c r="D14" s="22" t="s">
        <v>60</v>
      </c>
    </row>
    <row r="15" spans="1:4" ht="135" customHeight="1" x14ac:dyDescent="0.35">
      <c r="C15" s="23" t="s">
        <v>61</v>
      </c>
      <c r="D15" s="23" t="s">
        <v>62</v>
      </c>
    </row>
    <row r="16" spans="1:4" ht="100" customHeight="1" x14ac:dyDescent="0.35">
      <c r="C16" s="22" t="s">
        <v>63</v>
      </c>
      <c r="D16" s="22" t="s">
        <v>64</v>
      </c>
    </row>
  </sheetData>
  <pageMargins left="0.7" right="0.7" top="0.75" bottom="0.75" header="0.3" footer="0.3"/>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41E0D-4671-417D-A524-696CFC399F66}">
  <dimension ref="A1:G4"/>
  <sheetViews>
    <sheetView workbookViewId="0">
      <selection activeCell="E11" sqref="E11"/>
    </sheetView>
  </sheetViews>
  <sheetFormatPr defaultRowHeight="14.5" x14ac:dyDescent="0.35"/>
  <cols>
    <col min="3" max="3" width="4.81640625" bestFit="1" customWidth="1"/>
    <col min="4" max="4" width="13.6328125" bestFit="1" customWidth="1"/>
    <col min="6" max="6" width="84.453125" bestFit="1" customWidth="1"/>
  </cols>
  <sheetData>
    <row r="1" spans="1:7" x14ac:dyDescent="0.35">
      <c r="A1" s="24" t="s">
        <v>65</v>
      </c>
      <c r="B1" s="24" t="s">
        <v>66</v>
      </c>
      <c r="C1" s="24" t="s">
        <v>67</v>
      </c>
      <c r="D1" s="24" t="s">
        <v>68</v>
      </c>
      <c r="E1" s="24" t="s">
        <v>69</v>
      </c>
      <c r="F1" s="24" t="s">
        <v>70</v>
      </c>
      <c r="G1" s="24" t="s">
        <v>71</v>
      </c>
    </row>
    <row r="2" spans="1:7" x14ac:dyDescent="0.35">
      <c r="A2" s="7" t="s">
        <v>7</v>
      </c>
      <c r="B2" s="7" t="str">
        <f>_xlfn.CONCAT(C2:E2)</f>
        <v>2026CC1V1</v>
      </c>
      <c r="C2" s="7">
        <v>2026</v>
      </c>
      <c r="D2" s="7" t="s">
        <v>72</v>
      </c>
      <c r="E2" s="7" t="s">
        <v>7</v>
      </c>
      <c r="F2" s="25" t="s">
        <v>73</v>
      </c>
      <c r="G2" s="7" t="s">
        <v>74</v>
      </c>
    </row>
    <row r="3" spans="1:7" x14ac:dyDescent="0.35">
      <c r="A3" s="7" t="s">
        <v>8</v>
      </c>
      <c r="B3" s="7" t="str">
        <f>_xlfn.CONCAT(C3:E3)</f>
        <v>2026CC2V2</v>
      </c>
      <c r="C3" s="7">
        <v>2026</v>
      </c>
      <c r="D3" s="7" t="s">
        <v>75</v>
      </c>
      <c r="E3" s="7" t="s">
        <v>8</v>
      </c>
      <c r="F3" s="25" t="s">
        <v>73</v>
      </c>
      <c r="G3" s="7" t="s">
        <v>74</v>
      </c>
    </row>
    <row r="4" spans="1:7" x14ac:dyDescent="0.35">
      <c r="A4" s="7" t="s">
        <v>9</v>
      </c>
      <c r="B4" s="7" t="str">
        <f>_xlfn.CONCAT(C4:E4)</f>
        <v>2026CC3V3</v>
      </c>
      <c r="C4" s="7">
        <v>2026</v>
      </c>
      <c r="D4" s="7" t="s">
        <v>76</v>
      </c>
      <c r="E4" s="7" t="s">
        <v>9</v>
      </c>
      <c r="F4" s="25" t="s">
        <v>73</v>
      </c>
      <c r="G4" s="7" t="s">
        <v>74</v>
      </c>
    </row>
  </sheetData>
  <hyperlinks>
    <hyperlink ref="F2" r:id="rId1" xr:uid="{69546DC1-7A23-4E36-A588-91DE79505B51}"/>
    <hyperlink ref="F4" r:id="rId2" xr:uid="{37B7C0DC-46EB-4E49-8CB0-DC421D0CC248}"/>
  </hyperlinks>
  <pageMargins left="0.7" right="0.7" top="0.75" bottom="0.75" header="0.3" footer="0.3"/>
  <customProperties>
    <customPr name="_pios_i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2F89A-2DF7-4348-A924-1B83AADFBE3A}">
  <dimension ref="B2:C2"/>
  <sheetViews>
    <sheetView tabSelected="1" workbookViewId="0">
      <selection activeCell="F7" sqref="F7"/>
    </sheetView>
  </sheetViews>
  <sheetFormatPr defaultRowHeight="14.5" x14ac:dyDescent="0.35"/>
  <sheetData>
    <row r="2" spans="2:3" x14ac:dyDescent="0.35">
      <c r="B2" t="s">
        <v>77</v>
      </c>
      <c r="C2" s="26" t="s">
        <v>8</v>
      </c>
    </row>
  </sheetData>
  <pageMargins left="0.7" right="0.7" top="0.75" bottom="0.75" header="0.3" footer="0.3"/>
  <customProperties>
    <customPr name="_pios_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Para_ID</vt:lpstr>
      <vt:lpstr>Dynamic Values</vt:lpstr>
      <vt:lpstr>Tables</vt:lpstr>
      <vt:lpstr>Version Maintenance</vt:lpstr>
      <vt:lpstr>Landing_Page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a31468</dc:creator>
  <cp:lastModifiedBy>a31468</cp:lastModifiedBy>
  <dcterms:created xsi:type="dcterms:W3CDTF">2026-05-19T04:18:55Z</dcterms:created>
  <dcterms:modified xsi:type="dcterms:W3CDTF">2026-05-19T04:27:48Z</dcterms:modified>
</cp:coreProperties>
</file>